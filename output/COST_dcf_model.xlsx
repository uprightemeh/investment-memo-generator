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 Model" sheetId="2" state="visible" r:id="rId4"/>
    <sheet name="Financials" sheetId="3" state="visible" r:id="rId5"/>
    <sheet name="Ratios" sheetId="4" state="visible" r:id="rId6"/>
    <sheet name="Co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<sst xmlns="http://schemas.openxmlformats.org/spreadsheetml/2006/main" count="103" uniqueCount="92">
  <si>
    <t xml:space="preserve">DCF Assumptions — Costco Wholesale Corporation (COST)</t>
  </si>
  <si>
    <t xml:space="preserve">Base Revenue ($)</t>
  </si>
  <si>
    <t xml:space="preserve">FY2024 actual, Source: 10-K FY2024, EDGAR accession 0000909832-24-000031</t>
  </si>
  <si>
    <t xml:space="preserve">Year 1 Growth Rate</t>
  </si>
  <si>
    <t xml:space="preserve">Analyst estimate — edit this cell to test sensitivity</t>
  </si>
  <si>
    <t xml:space="preserve">Year 2 Growth Rate</t>
  </si>
  <si>
    <t xml:space="preserve">Analyst estimate</t>
  </si>
  <si>
    <t xml:space="preserve">Year 3 Growth Rate</t>
  </si>
  <si>
    <t xml:space="preserve">Year 4 Growth Rate</t>
  </si>
  <si>
    <t xml:space="preserve">Year 5 Growth Rate</t>
  </si>
  <si>
    <t xml:space="preserve">EBIT Margin</t>
  </si>
  <si>
    <t xml:space="preserve">FY2024 actual operating income / revenue (exact, matches Python engine)</t>
  </si>
  <si>
    <t xml:space="preserve">Tax Rate</t>
  </si>
  <si>
    <t xml:space="preserve">Approximate blended statutory rate</t>
  </si>
  <si>
    <t xml:space="preserve">CapEx % of Revenue</t>
  </si>
  <si>
    <t xml:space="preserve">Analyst estimate based on historical capex/revenue</t>
  </si>
  <si>
    <t xml:space="preserve">D&amp;A % of Revenue</t>
  </si>
  <si>
    <t xml:space="preserve">NWC Change % of Revenue Change</t>
  </si>
  <si>
    <t xml:space="preserve">WACC</t>
  </si>
  <si>
    <t xml:space="preserve">Key assumption — highly sensitive, see Sensitivity tab</t>
  </si>
  <si>
    <t xml:space="preserve">Terminal Growth Rate</t>
  </si>
  <si>
    <t xml:space="preserve">Key assumption — must be &lt; WACC</t>
  </si>
  <si>
    <t xml:space="preserve">Net Debt ($)</t>
  </si>
  <si>
    <t xml:space="preserve">Negative = net cash position</t>
  </si>
  <si>
    <t xml:space="preserve">Diluted Shares Outstanding</t>
  </si>
  <si>
    <t xml:space="preserve">FY2024 actual</t>
  </si>
  <si>
    <t xml:space="preserve">Current Share Price ($)</t>
  </si>
  <si>
    <t xml:space="preserve">Illustrative — replace with live market price</t>
  </si>
  <si>
    <t xml:space="preserve">DCF Model — Free Cash Flow Projection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</si>
  <si>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</si>
  <si>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</si>
  <si>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</si>
  <si>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</si>
  <si>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</si>
  <si>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</si>
  <si>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</si>
  <si>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</t>
  </si>
  <si>
    <t xml:space="preserve">NOPAT</t>
  </si>
  <si>
    <t xml:space="preserve">CapEx</t>
  </si>
  <si>
    <t xml:space="preserve">D&amp;A</t>
  </si>
  <si>
    <t xml:space="preserve">Change in NWC</t>
  </si>
  <si>
    <t xml:space="preserve">Free Cash Flow</t>
  </si>
  <si>
    <t xml:space="preserve">Discount Factor</t>
  </si>
  <si>
    <t xml:space="preserve">Present Value of FCF</t>
  </si>
  <si>
    <t xml:space="preserve">Valuation Bridge</t>
  </si>
  <si>
    <t xml:space="preserve">Sum of PV of FCF (Years 1-5)</t>
  </si>
  <si>
    <t xml:space="preserve">Terminal Value (Gordon Growth)</t>
  </si>
  <si>
    <t xml:space="preserve">PV of Terminal Value</t>
  </si>
  <si>
    <t xml:space="preserve">Enterprise Value</t>
  </si>
  <si>
    <t xml:space="preserve">Equity Value</t>
  </si>
  <si>
    <t xml:space="preserve">Implied Share Price</t>
  </si>
  <si>
    <t xml:space="preserve">Upside / (Downside) vs. Current Price</t>
  </si>
  <si>
    <t xml:space="preserve">Historical Financials — COST ($, FY basis)</t>
  </si>
  <si>
    <t xml:space="preserve">FY2022</t>
  </si>
  <si>
    <t xml:space="preserve">FY2023</t>
  </si>
  <si>
    <t xml:space="preserve">FY2024</t>
  </si>
  <si>
    <t xml:space="preserve">Cost of Goods Sold</t>
  </si>
  <si>
    <t xml:space="preserve">Operating Income</t>
  </si>
  <si>
    <t xml:space="preserve">Net Income</t>
  </si>
  <si>
    <t xml:space="preserve">Stockholders Equity</t>
  </si>
  <si>
    <t xml:space="preserve">Current Assets</t>
  </si>
  <si>
    <t xml:space="preserve">Current Liabilities</t>
  </si>
  <si>
    <t xml:space="preserve">Operating Cash Flow</t>
  </si>
  <si>
    <t xml:space="preserve">Source: SEC EDGAR 10-K filings FY2022-FY2024 (XBRL); see README for accession numbers</t>
  </si>
  <si>
    <t xml:space="preserve">Financial Ratios (formula-driven from Financials tab)</t>
  </si>
  <si>
    <t xml:space="preserve">Ratio</t>
  </si>
  <si>
    <t xml:space="preserve">Gross Margin</t>
  </si>
  <si>
    <t xml:space="preserve">Operating Margin</t>
  </si>
  <si>
    <t xml:space="preserve">Net Margin</t>
  </si>
  <si>
    <t xml:space="preserve">ROE</t>
  </si>
  <si>
    <t xml:space="preserve">Current Ratio</t>
  </si>
  <si>
    <t xml:space="preserve">FCF Margin</t>
  </si>
  <si>
    <t xml:space="preserve">Revenue Growth YoY</t>
  </si>
  <si>
    <t xml:space="preserve">n/a (no prior year)</t>
  </si>
  <si>
    <t xml:space="preserve">Comparable Companies</t>
  </si>
  <si>
    <t xml:space="preserve">Ticker</t>
  </si>
  <si>
    <t xml:space="preserve">Company</t>
  </si>
  <si>
    <t xml:space="preserve">EV/EBITDA</t>
  </si>
  <si>
    <t xml:space="preserve">P/E</t>
  </si>
  <si>
    <t xml:space="preserve">EV/Revenue</t>
  </si>
  <si>
    <t xml:space="preserve">Rev Growth</t>
  </si>
  <si>
    <t xml:space="preserve">Op Margin</t>
  </si>
  <si>
    <t xml:space="preserve">WMT</t>
  </si>
  <si>
    <t xml:space="preserve">Walmart Inc.</t>
  </si>
  <si>
    <t xml:space="preserve">TGT</t>
  </si>
  <si>
    <t xml:space="preserve">Target Corp.</t>
  </si>
  <si>
    <t xml:space="preserve">BJ</t>
  </si>
  <si>
    <t xml:space="preserve">BJ's Wholesale Club</t>
  </si>
  <si>
    <t xml:space="preserve">DG</t>
  </si>
  <si>
    <t xml:space="preserve">Dollar General Corp.</t>
  </si>
  <si>
    <t xml:space="preserve">Peer Median</t>
  </si>
  <si>
    <t xml:space="preserve">Implied share price (DCF, for reference):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</si>
</sst>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#,##0"/>
    <numFmt numFmtId="168" formatCode="\$#,##0.00"/>
    <numFmt numFmtId="169" formatCode="0.0000"/>
    <numFmt numFmtId="170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77777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1F3A5F"/>
      <name val="Cambria"/>
      <family val="0"/>
      <charset val="1"/>
    </font>
    <font>
      <i val="true"/>
      <sz val="11"/>
      <color rgb="FF777777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254453000000</v>
      </c>
      <c r="C3" s="3" t="s">
        <v>2</v>
      </c>
    </row>
    <row r="4" customFormat="false" ht="15" hidden="false" customHeight="false" outlineLevel="0" collapsed="false">
      <c r="A4" s="0" t="s">
        <v>3</v>
      </c>
      <c r="B4" s="4" t="n">
        <v>0.07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0.065</v>
      </c>
      <c r="C5" s="3" t="s">
        <v>6</v>
      </c>
    </row>
    <row r="6" customFormat="false" ht="15" hidden="false" customHeight="false" outlineLevel="0" collapsed="false">
      <c r="A6" s="0" t="s">
        <v>7</v>
      </c>
      <c r="B6" s="4" t="n">
        <v>0.06</v>
      </c>
      <c r="C6" s="3" t="s">
        <v>6</v>
      </c>
    </row>
    <row r="7" customFormat="false" ht="15" hidden="false" customHeight="false" outlineLevel="0" collapsed="false">
      <c r="A7" s="0" t="s">
        <v>8</v>
      </c>
      <c r="B7" s="4" t="n">
        <v>0.055</v>
      </c>
      <c r="C7" s="3" t="s">
        <v>6</v>
      </c>
    </row>
    <row r="8" customFormat="false" ht="15" hidden="false" customHeight="false" outlineLevel="0" collapsed="false">
      <c r="A8" s="0" t="s">
        <v>9</v>
      </c>
      <c r="B8" s="4" t="n">
        <v>0.05</v>
      </c>
      <c r="C8" s="3" t="s">
        <v>6</v>
      </c>
    </row>
    <row r="9" customFormat="false" ht="15" hidden="false" customHeight="false" outlineLevel="0" collapsed="false">
      <c r="A9" s="0" t="s">
        <v>10</v>
      </c>
      <c r="B9" s="4" t="n">
        <v>0.0364900394178886</v>
      </c>
      <c r="C9" s="3" t="s">
        <v>11</v>
      </c>
    </row>
    <row r="10" customFormat="false" ht="15" hidden="false" customHeight="false" outlineLevel="0" collapsed="false">
      <c r="A10" s="0" t="s">
        <v>12</v>
      </c>
      <c r="B10" s="4" t="n">
        <v>0.25</v>
      </c>
      <c r="C10" s="3" t="s">
        <v>13</v>
      </c>
    </row>
    <row r="11" customFormat="false" ht="15" hidden="false" customHeight="false" outlineLevel="0" collapsed="false">
      <c r="A11" s="0" t="s">
        <v>14</v>
      </c>
      <c r="B11" s="4" t="n">
        <v>0.018</v>
      </c>
      <c r="C11" s="3" t="s">
        <v>15</v>
      </c>
    </row>
    <row r="12" customFormat="false" ht="15" hidden="false" customHeight="false" outlineLevel="0" collapsed="false">
      <c r="A12" s="0" t="s">
        <v>16</v>
      </c>
      <c r="B12" s="4" t="n">
        <v>0.012</v>
      </c>
      <c r="C12" s="3" t="s">
        <v>6</v>
      </c>
    </row>
    <row r="13" customFormat="false" ht="15" hidden="false" customHeight="false" outlineLevel="0" collapsed="false">
      <c r="A13" s="0" t="s">
        <v>17</v>
      </c>
      <c r="B13" s="4" t="n">
        <v>0.01</v>
      </c>
      <c r="C13" s="3" t="s">
        <v>6</v>
      </c>
    </row>
    <row r="14" customFormat="false" ht="15" hidden="false" customHeight="false" outlineLevel="0" collapsed="false">
      <c r="A14" s="0" t="s">
        <v>18</v>
      </c>
      <c r="B14" s="4" t="n">
        <v>0.08</v>
      </c>
      <c r="C14" s="3" t="s">
        <v>19</v>
      </c>
    </row>
    <row r="15" customFormat="false" ht="15" hidden="false" customHeight="false" outlineLevel="0" collapsed="false">
      <c r="A15" s="0" t="s">
        <v>20</v>
      </c>
      <c r="B15" s="4" t="n">
        <v>0.025</v>
      </c>
      <c r="C15" s="3" t="s">
        <v>21</v>
      </c>
    </row>
    <row r="16" customFormat="false" ht="15" hidden="false" customHeight="false" outlineLevel="0" collapsed="false">
      <c r="A16" s="0" t="s">
        <v>22</v>
      </c>
      <c r="B16" s="2" t="n">
        <v>-10000000000</v>
      </c>
      <c r="C16" s="3" t="s">
        <v>23</v>
      </c>
    </row>
    <row r="17" customFormat="false" ht="15" hidden="false" customHeight="false" outlineLevel="0" collapsed="false">
      <c r="A17" s="0" t="s">
        <v>24</v>
      </c>
      <c r="B17" s="5" t="n">
        <v>443000000</v>
      </c>
      <c r="C17" s="3" t="s">
        <v>25</v>
      </c>
    </row>
    <row r="18" customFormat="false" ht="15" hidden="false" customHeight="false" outlineLevel="0" collapsed="false">
      <c r="A18" s="0" t="s">
        <v>26</v>
      </c>
      <c r="B18" s="6" t="n">
        <v>920</v>
      </c>
      <c r="C18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</row>
    <row r="4" customFormat="false" ht="15" hidden="false" customHeight="false" outlineLevel="0" collapsed="false">
      <c r="A4" s="8" t="s">
        <v>35</v>
      </c>
      <c r="B4" s="9" t="n">
        <f aca="false">Assumptions!$B$3*(1+Assumptions!$B$4)</f>
        <v>272264710000</v>
      </c>
      <c r="C4" s="9" t="n">
        <f aca="false">B4*(1+Assumptions!$B$5)</f>
        <v>289961916150</v>
      </c>
      <c r="D4" s="9" t="n">
        <f aca="false">C4*(1+Assumptions!$B$6)</f>
        <v>307359631119</v>
      </c>
      <c r="E4" s="9" t="n">
        <f aca="false">D4*(1+Assumptions!$B$7)</f>
        <v>324264410830.545</v>
      </c>
      <c r="F4" s="9" t="n">
        <f aca="false">E4*(1+Assumptions!$B$8)</f>
        <v>340477631372.072</v>
      </c>
    </row>
    <row r="5" customFormat="false" ht="15" hidden="false" customHeight="false" outlineLevel="0" collapsed="false">
      <c r="A5" s="10" t="s">
        <v>36</v>
      </c>
      <c r="B5" s="9" t="n">
        <f aca="false">B4*Assumptions!$B$9</f>
        <v>9934950000</v>
      </c>
      <c r="C5" s="9" t="n">
        <f aca="false">C4*Assumptions!$B$9</f>
        <v>10580721750</v>
      </c>
      <c r="D5" s="9" t="n">
        <f aca="false">D4*Assumptions!$B$9</f>
        <v>11215565055</v>
      </c>
      <c r="E5" s="9" t="n">
        <f aca="false">E4*Assumptions!$B$9</f>
        <v>11832421133.025</v>
      </c>
      <c r="F5" s="9" t="n">
        <f aca="false">F4*Assumptions!$B$9</f>
        <v>12424042189.6763</v>
      </c>
    </row>
    <row r="6" customFormat="false" ht="15" hidden="false" customHeight="false" outlineLevel="0" collapsed="false">
      <c r="A6" s="10" t="s">
        <v>37</v>
      </c>
      <c r="B6" s="9" t="n">
        <f aca="false">B5*(1-Assumptions!$B$10)</f>
        <v>7451212500</v>
      </c>
      <c r="C6" s="9" t="n">
        <f aca="false">C5*(1-Assumptions!$B$10)</f>
        <v>7935541312.5</v>
      </c>
      <c r="D6" s="9" t="n">
        <f aca="false">D5*(1-Assumptions!$B$10)</f>
        <v>8411673791.25</v>
      </c>
      <c r="E6" s="9" t="n">
        <f aca="false">E5*(1-Assumptions!$B$10)</f>
        <v>8874315849.76875</v>
      </c>
      <c r="F6" s="9" t="n">
        <f aca="false">F5*(1-Assumptions!$B$10)</f>
        <v>9318031642.25719</v>
      </c>
    </row>
    <row r="7" customFormat="false" ht="15" hidden="false" customHeight="false" outlineLevel="0" collapsed="false">
      <c r="A7" s="10" t="s">
        <v>38</v>
      </c>
      <c r="B7" s="9" t="n">
        <f aca="false">B4*Assumptions!$B$11</f>
        <v>4900764780</v>
      </c>
      <c r="C7" s="9" t="n">
        <f aca="false">C4*Assumptions!$B$11</f>
        <v>5219314490.7</v>
      </c>
      <c r="D7" s="9" t="n">
        <f aca="false">D4*Assumptions!$B$11</f>
        <v>5532473360.142</v>
      </c>
      <c r="E7" s="9" t="n">
        <f aca="false">E4*Assumptions!$B$11</f>
        <v>5836759394.94981</v>
      </c>
      <c r="F7" s="9" t="n">
        <f aca="false">F4*Assumptions!$B$11</f>
        <v>6128597364.6973</v>
      </c>
    </row>
    <row r="8" customFormat="false" ht="15" hidden="false" customHeight="false" outlineLevel="0" collapsed="false">
      <c r="A8" s="10" t="s">
        <v>39</v>
      </c>
      <c r="B8" s="9" t="n">
        <f aca="false">B4*Assumptions!$B$12</f>
        <v>3267176520</v>
      </c>
      <c r="C8" s="9" t="n">
        <f aca="false">C4*Assumptions!$B$12</f>
        <v>3479542993.8</v>
      </c>
      <c r="D8" s="9" t="n">
        <f aca="false">D4*Assumptions!$B$12</f>
        <v>3688315573.428</v>
      </c>
      <c r="E8" s="9" t="n">
        <f aca="false">E4*Assumptions!$B$12</f>
        <v>3891172929.96654</v>
      </c>
      <c r="F8" s="9" t="n">
        <f aca="false">F4*Assumptions!$B$12</f>
        <v>4085731576.46487</v>
      </c>
    </row>
    <row r="9" customFormat="false" ht="15" hidden="false" customHeight="false" outlineLevel="0" collapsed="false">
      <c r="A9" s="10" t="s">
        <v>40</v>
      </c>
      <c r="B9" s="9" t="n">
        <f aca="false">(B4-Assumptions!$B$3)*Assumptions!$B$13</f>
        <v>178117100</v>
      </c>
      <c r="C9" s="9" t="n">
        <f aca="false">(C4-B4)*Assumptions!$B$13</f>
        <v>176972061.5</v>
      </c>
      <c r="D9" s="9" t="n">
        <f aca="false">(D4-C4)*Assumptions!$B$13</f>
        <v>173977149.69</v>
      </c>
      <c r="E9" s="9" t="n">
        <f aca="false">(E4-D4)*Assumptions!$B$13</f>
        <v>169047797.11545</v>
      </c>
      <c r="F9" s="9" t="n">
        <f aca="false">(F4-E4)*Assumptions!$B$13</f>
        <v>162132205.415273</v>
      </c>
    </row>
    <row r="10" customFormat="false" ht="15" hidden="false" customHeight="false" outlineLevel="0" collapsed="false">
      <c r="A10" s="8" t="s">
        <v>41</v>
      </c>
      <c r="B10" s="9" t="n">
        <f aca="false">B6+B8-B7-B9</f>
        <v>5639507140</v>
      </c>
      <c r="C10" s="9" t="n">
        <f aca="false">C6+C8-C7-C9</f>
        <v>6018797754.1</v>
      </c>
      <c r="D10" s="9" t="n">
        <f aca="false">D6+D8-D7-D9</f>
        <v>6393538854.846</v>
      </c>
      <c r="E10" s="9" t="n">
        <f aca="false">E6+E8-E7-E9</f>
        <v>6759681587.67003</v>
      </c>
      <c r="F10" s="9" t="n">
        <f aca="false">F6+F8-F7-F9</f>
        <v>7113033648.60948</v>
      </c>
    </row>
    <row r="11" customFormat="false" ht="15" hidden="false" customHeight="false" outlineLevel="0" collapsed="false">
      <c r="A11" s="10" t="s">
        <v>42</v>
      </c>
      <c r="B11" s="11" t="n">
        <f aca="false">1/(1+Assumptions!$B$14)^1</f>
        <v>0.925925925925926</v>
      </c>
      <c r="C11" s="11" t="n">
        <f aca="false">1/(1+Assumptions!$B$14)^2</f>
        <v>0.857338820301783</v>
      </c>
      <c r="D11" s="11" t="n">
        <f aca="false">1/(1+Assumptions!$B$14)^3</f>
        <v>0.79383224102017</v>
      </c>
      <c r="E11" s="11" t="n">
        <f aca="false">1/(1+Assumptions!$B$14)^4</f>
        <v>0.735029852796453</v>
      </c>
      <c r="F11" s="11" t="n">
        <f aca="false">1/(1+Assumptions!$B$14)^5</f>
        <v>0.680583197033753</v>
      </c>
    </row>
    <row r="12" customFormat="false" ht="15" hidden="false" customHeight="false" outlineLevel="0" collapsed="false">
      <c r="A12" s="10" t="s">
        <v>43</v>
      </c>
      <c r="B12" s="9" t="n">
        <f aca="false">B10*B11</f>
        <v>5221765870.37037</v>
      </c>
      <c r="C12" s="9" t="n">
        <f aca="false">C10*C11</f>
        <v>5160148966.13512</v>
      </c>
      <c r="D12" s="9" t="n">
        <f aca="false">D10*D11</f>
        <v>5075397277.19193</v>
      </c>
      <c r="E12" s="9" t="n">
        <f aca="false">E10*E11</f>
        <v>4968567762.336</v>
      </c>
      <c r="F12" s="9" t="n">
        <f aca="false">F10*F11</f>
        <v>4841011181.1793</v>
      </c>
    </row>
    <row r="14" customFormat="false" ht="15" hidden="false" customHeight="false" outlineLevel="0" collapsed="false">
      <c r="A14" s="12" t="s">
        <v>44</v>
      </c>
    </row>
    <row r="15" customFormat="false" ht="15" hidden="false" customHeight="false" outlineLevel="0" collapsed="false">
      <c r="A15" s="0" t="s">
        <v>45</v>
      </c>
      <c r="B15" s="9" t="n">
        <f aca="false">SUM(B12:F12)</f>
        <v>25266891057.2127</v>
      </c>
    </row>
    <row r="16" customFormat="false" ht="15" hidden="false" customHeight="false" outlineLevel="0" collapsed="false">
      <c r="A16" s="0" t="s">
        <v>46</v>
      </c>
      <c r="B16" s="9" t="n">
        <f aca="false">F10*(1+Assumptions!$B$15)/(Assumptions!$B$14-Assumptions!$B$15)</f>
        <v>132561081633.177</v>
      </c>
    </row>
    <row r="17" customFormat="false" ht="15" hidden="false" customHeight="false" outlineLevel="0" collapsed="false">
      <c r="A17" s="0" t="s">
        <v>47</v>
      </c>
      <c r="B17" s="9" t="n">
        <f aca="false">B16*F11</f>
        <v>90218844740.1597</v>
      </c>
    </row>
    <row r="18" customFormat="false" ht="15" hidden="false" customHeight="false" outlineLevel="0" collapsed="false">
      <c r="A18" s="0" t="s">
        <v>48</v>
      </c>
      <c r="B18" s="9" t="n">
        <f aca="false">B15+B17</f>
        <v>115485735797.372</v>
      </c>
    </row>
    <row r="19" customFormat="false" ht="15" hidden="false" customHeight="false" outlineLevel="0" collapsed="false">
      <c r="A19" s="0" t="s">
        <v>49</v>
      </c>
      <c r="B19" s="9" t="n">
        <f aca="false">B18-Assumptions!$B$16</f>
        <v>125485735797.372</v>
      </c>
    </row>
    <row r="20" customFormat="false" ht="15" hidden="false" customHeight="false" outlineLevel="0" collapsed="false">
      <c r="A20" s="8" t="s">
        <v>50</v>
      </c>
      <c r="B20" s="13" t="n">
        <f aca="false">B19/Assumptions!$B$17</f>
        <v>283.263511957951</v>
      </c>
    </row>
    <row r="22" customFormat="false" ht="15" hidden="false" customHeight="false" outlineLevel="0" collapsed="false">
      <c r="A22" s="8" t="s">
        <v>51</v>
      </c>
      <c r="B22" s="14" t="n">
        <f aca="false">(B20-Assumptions!$B$18)/Assumptions!$B$18</f>
        <v>-0.692104878306575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52</v>
      </c>
    </row>
    <row r="3" customFormat="false" ht="15" hidden="false" customHeight="false" outlineLevel="0" collapsed="false">
      <c r="A3" s="7" t="s">
        <v>29</v>
      </c>
      <c r="B3" s="7" t="s">
        <v>53</v>
      </c>
      <c r="C3" s="7" t="s">
        <v>54</v>
      </c>
      <c r="D3" s="7" t="s">
        <v>55</v>
      </c>
    </row>
    <row r="4" customFormat="false" ht="15" hidden="false" customHeight="false" outlineLevel="0" collapsed="false">
      <c r="A4" s="0" t="s">
        <v>35</v>
      </c>
      <c r="B4" s="15" t="n">
        <v>226954000000</v>
      </c>
      <c r="C4" s="15" t="n">
        <v>242290000000</v>
      </c>
      <c r="D4" s="15" t="n">
        <v>254453000000</v>
      </c>
    </row>
    <row r="5" customFormat="false" ht="15" hidden="false" customHeight="false" outlineLevel="0" collapsed="false">
      <c r="A5" s="0" t="s">
        <v>56</v>
      </c>
      <c r="B5" s="15" t="n">
        <v>201402000000</v>
      </c>
      <c r="C5" s="15" t="n">
        <v>215214000000</v>
      </c>
      <c r="D5" s="15" t="n">
        <v>225954000000</v>
      </c>
    </row>
    <row r="6" customFormat="false" ht="15" hidden="false" customHeight="false" outlineLevel="0" collapsed="false">
      <c r="A6" s="0" t="s">
        <v>57</v>
      </c>
      <c r="B6" s="15" t="n">
        <v>7793000000</v>
      </c>
      <c r="C6" s="15" t="n">
        <v>8114000000</v>
      </c>
      <c r="D6" s="15" t="n">
        <v>9285000000</v>
      </c>
    </row>
    <row r="7" customFormat="false" ht="15" hidden="false" customHeight="false" outlineLevel="0" collapsed="false">
      <c r="A7" s="0" t="s">
        <v>58</v>
      </c>
      <c r="B7" s="15" t="n">
        <v>5844000000</v>
      </c>
      <c r="C7" s="15" t="n">
        <v>6292000000</v>
      </c>
      <c r="D7" s="15" t="n">
        <v>7367000000</v>
      </c>
    </row>
    <row r="8" customFormat="false" ht="15" hidden="false" customHeight="false" outlineLevel="0" collapsed="false">
      <c r="A8" s="0" t="s">
        <v>59</v>
      </c>
      <c r="B8" s="15" t="n">
        <v>20642000000</v>
      </c>
      <c r="C8" s="15" t="n">
        <v>22931000000</v>
      </c>
      <c r="D8" s="15" t="n">
        <v>26490000000</v>
      </c>
    </row>
    <row r="9" customFormat="false" ht="15" hidden="false" customHeight="false" outlineLevel="0" collapsed="false">
      <c r="A9" s="0" t="s">
        <v>60</v>
      </c>
      <c r="B9" s="15" t="n">
        <v>30664000000</v>
      </c>
      <c r="C9" s="15" t="n">
        <v>32351000000</v>
      </c>
      <c r="D9" s="15" t="n">
        <v>34326000000</v>
      </c>
    </row>
    <row r="10" customFormat="false" ht="15" hidden="false" customHeight="false" outlineLevel="0" collapsed="false">
      <c r="A10" s="0" t="s">
        <v>61</v>
      </c>
      <c r="B10" s="15" t="n">
        <v>30413000000</v>
      </c>
      <c r="C10" s="15" t="n">
        <v>32991000000</v>
      </c>
      <c r="D10" s="15" t="n">
        <v>34549000000</v>
      </c>
    </row>
    <row r="11" customFormat="false" ht="15" hidden="false" customHeight="false" outlineLevel="0" collapsed="false">
      <c r="A11" s="0" t="s">
        <v>62</v>
      </c>
      <c r="B11" s="15" t="n">
        <v>7385000000</v>
      </c>
      <c r="C11" s="15" t="n">
        <v>9741000000</v>
      </c>
      <c r="D11" s="15" t="n">
        <v>11269000000</v>
      </c>
    </row>
    <row r="12" customFormat="false" ht="15" hidden="false" customHeight="false" outlineLevel="0" collapsed="false">
      <c r="A12" s="0" t="s">
        <v>38</v>
      </c>
      <c r="B12" s="15" t="n">
        <v>3891000000</v>
      </c>
      <c r="C12" s="15" t="n">
        <v>4078000000</v>
      </c>
      <c r="D12" s="15" t="n">
        <v>4710000000</v>
      </c>
    </row>
    <row r="13" customFormat="false" ht="15" hidden="false" customHeight="false" outlineLevel="0" collapsed="false">
      <c r="A13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7" t="s">
        <v>65</v>
      </c>
      <c r="B3" s="7" t="s">
        <v>53</v>
      </c>
      <c r="C3" s="7" t="s">
        <v>54</v>
      </c>
      <c r="D3" s="7" t="s">
        <v>55</v>
      </c>
    </row>
    <row r="4" customFormat="false" ht="15" hidden="false" customHeight="false" outlineLevel="0" collapsed="false">
      <c r="A4" s="0" t="s">
        <v>66</v>
      </c>
      <c r="B4" s="16" t="n">
        <f aca="false">(Financials!B4-Financials!B5)/Financials!B4</f>
        <v>0.112586691576267</v>
      </c>
      <c r="C4" s="16" t="n">
        <f aca="false">(Financials!C4-Financials!C5)/Financials!C4</f>
        <v>0.111750381773907</v>
      </c>
      <c r="D4" s="16" t="n">
        <f aca="false">(Financials!D4-Financials!D5)/Financials!D4</f>
        <v>0.112001037519699</v>
      </c>
    </row>
    <row r="5" customFormat="false" ht="15" hidden="false" customHeight="false" outlineLevel="0" collapsed="false">
      <c r="A5" s="0" t="s">
        <v>67</v>
      </c>
      <c r="B5" s="16" t="n">
        <f aca="false">Financials!B6/Financials!B4</f>
        <v>0.03433735470624</v>
      </c>
      <c r="C5" s="16" t="n">
        <f aca="false">Financials!C6/Financials!C4</f>
        <v>0.03348879441991</v>
      </c>
      <c r="D5" s="16" t="n">
        <f aca="false">Financials!D6/Financials!D4</f>
        <v>0.0364900394178886</v>
      </c>
    </row>
    <row r="6" customFormat="false" ht="15" hidden="false" customHeight="false" outlineLevel="0" collapsed="false">
      <c r="A6" s="0" t="s">
        <v>68</v>
      </c>
      <c r="B6" s="16" t="n">
        <f aca="false">Financials!B7/Financials!B4</f>
        <v>0.0257497113952607</v>
      </c>
      <c r="C6" s="16" t="n">
        <f aca="false">Financials!C7/Financials!C4</f>
        <v>0.0259688802674481</v>
      </c>
      <c r="D6" s="16" t="n">
        <f aca="false">Financials!D7/Financials!D4</f>
        <v>0.0289523016038325</v>
      </c>
    </row>
    <row r="7" customFormat="false" ht="15" hidden="false" customHeight="false" outlineLevel="0" collapsed="false">
      <c r="A7" s="0" t="s">
        <v>69</v>
      </c>
      <c r="B7" s="16" t="n">
        <f aca="false">Financials!B7/Financials!B8</f>
        <v>0.283112101540548</v>
      </c>
      <c r="C7" s="16" t="n">
        <f aca="false">Financials!C7/Financials!C8</f>
        <v>0.274388382538921</v>
      </c>
      <c r="D7" s="16" t="n">
        <f aca="false">Financials!D7/Financials!D8</f>
        <v>0.278104945262363</v>
      </c>
    </row>
    <row r="8" customFormat="false" ht="15" hidden="false" customHeight="false" outlineLevel="0" collapsed="false">
      <c r="A8" s="0" t="s">
        <v>70</v>
      </c>
      <c r="B8" s="17" t="n">
        <f aca="false">Financials!B9/Financials!B10</f>
        <v>1.0082530496827</v>
      </c>
      <c r="C8" s="17" t="n">
        <f aca="false">Financials!C9/Financials!C10</f>
        <v>0.980600769906944</v>
      </c>
      <c r="D8" s="17" t="n">
        <f aca="false">Financials!D9/Financials!D10</f>
        <v>0.993545399287968</v>
      </c>
    </row>
    <row r="9" customFormat="false" ht="15" hidden="false" customHeight="false" outlineLevel="0" collapsed="false">
      <c r="A9" s="0" t="s">
        <v>71</v>
      </c>
      <c r="B9" s="16" t="n">
        <f aca="false">(Financials!B11-Financials!B12)/Financials!B4</f>
        <v>0.0153951902147572</v>
      </c>
      <c r="C9" s="16" t="n">
        <f aca="false">(Financials!C11-Financials!C12)/Financials!C4</f>
        <v>0.0233728176978002</v>
      </c>
      <c r="D9" s="16" t="n">
        <f aca="false">(Financials!D11-Financials!D12)/Financials!D4</f>
        <v>0.0257768625247099</v>
      </c>
    </row>
    <row r="10" customFormat="false" ht="15" hidden="false" customHeight="false" outlineLevel="0" collapsed="false">
      <c r="A10" s="0" t="s">
        <v>72</v>
      </c>
      <c r="B10" s="18" t="s">
        <v>73</v>
      </c>
      <c r="C10" s="16" t="n">
        <f aca="false">(Financials!C4-Financials!B4)/Financials!B4</f>
        <v>0.0675731646060435</v>
      </c>
      <c r="D10" s="16" t="n">
        <f aca="false">(Financials!D4-Financials!C4)/Financials!C4</f>
        <v>0.0502001733459903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81</v>
      </c>
    </row>
    <row r="4" customFormat="false" ht="15" hidden="false" customHeight="false" outlineLevel="0" collapsed="false">
      <c r="A4" s="19" t="s">
        <v>82</v>
      </c>
      <c r="B4" s="19" t="s">
        <v>83</v>
      </c>
      <c r="C4" s="20" t="n">
        <v>15.2</v>
      </c>
      <c r="D4" s="20" t="n">
        <v>28.4</v>
      </c>
      <c r="E4" s="20" t="n">
        <v>1.1</v>
      </c>
      <c r="F4" s="21" t="n">
        <v>0.056</v>
      </c>
      <c r="G4" s="21" t="n">
        <v>0.044</v>
      </c>
    </row>
    <row r="5" customFormat="false" ht="15" hidden="false" customHeight="false" outlineLevel="0" collapsed="false">
      <c r="A5" s="19" t="s">
        <v>84</v>
      </c>
      <c r="B5" s="19" t="s">
        <v>85</v>
      </c>
      <c r="C5" s="20" t="n">
        <v>8.1</v>
      </c>
      <c r="D5" s="20" t="n">
        <v>16.3</v>
      </c>
      <c r="E5" s="20" t="n">
        <v>0.6</v>
      </c>
      <c r="F5" s="21" t="n">
        <v>0.021</v>
      </c>
      <c r="G5" s="21" t="n">
        <v>0.055</v>
      </c>
    </row>
    <row r="6" customFormat="false" ht="15" hidden="false" customHeight="false" outlineLevel="0" collapsed="false">
      <c r="A6" s="19" t="s">
        <v>86</v>
      </c>
      <c r="B6" s="19" t="s">
        <v>87</v>
      </c>
      <c r="C6" s="20" t="n">
        <v>11.4</v>
      </c>
      <c r="D6" s="20" t="n">
        <v>19.8</v>
      </c>
      <c r="E6" s="20" t="n">
        <v>0.7</v>
      </c>
      <c r="F6" s="21" t="n">
        <v>0.041</v>
      </c>
      <c r="G6" s="21" t="n">
        <v>0.033</v>
      </c>
    </row>
    <row r="7" customFormat="false" ht="15" hidden="false" customHeight="false" outlineLevel="0" collapsed="false">
      <c r="A7" s="19" t="s">
        <v>88</v>
      </c>
      <c r="B7" s="19" t="s">
        <v>89</v>
      </c>
      <c r="C7" s="20" t="n">
        <v>9.7</v>
      </c>
      <c r="D7" s="20" t="n">
        <v>17.5</v>
      </c>
      <c r="E7" s="20" t="n">
        <v>0.9</v>
      </c>
      <c r="F7" s="21" t="n">
        <v>0.032</v>
      </c>
      <c r="G7" s="21" t="n">
        <v>0.049</v>
      </c>
    </row>
    <row r="9" customFormat="false" ht="15" hidden="false" customHeight="false" outlineLevel="0" collapsed="false">
      <c r="B9" s="8" t="s">
        <v>90</v>
      </c>
      <c r="C9" s="17" t="n">
        <f aca="false">MEDIAN(C4:C7)</f>
        <v>10.55</v>
      </c>
      <c r="D9" s="17" t="n">
        <f aca="false">MEDIAN(D4:D7)</f>
        <v>18.65</v>
      </c>
      <c r="E9" s="17" t="n">
        <f aca="false">MEDIAN(E4:E7)</f>
        <v>0.8</v>
      </c>
      <c r="F9" s="16" t="n">
        <f aca="false">MEDIAN(F4:F7)</f>
        <v>0.0365</v>
      </c>
      <c r="G9" s="16" t="n">
        <f aca="false">MEDIAN(G4:G7)</f>
        <v>0.0465</v>
      </c>
    </row>
    <row r="11" customFormat="false" ht="15" hidden="false" customHeight="false" outlineLevel="0" collapsed="false">
      <c r="A11" s="22" t="s">
        <v>91</v>
      </c>
      <c r="C11" s="23" t="n">
        <f aca="false">'DCF Model'!$B$20</f>
        <v>283.263511957951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2026-07-18T10:12:31Z</dcterms:created>
  <dc:creator>openpyxl</dc:creator>
  <dc:description/>
  <dc:language>en-US</dc:language>
  <cp:lastModifiedBy/>
  <dcterms:modified xsi:type="dcterms:W3CDTF">2026-07-18T10:12:31Z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